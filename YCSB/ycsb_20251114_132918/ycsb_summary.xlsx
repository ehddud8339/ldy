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sLab-Windows\Github\ldy\YCSB\ycsb_20251114_132918\"/>
    </mc:Choice>
  </mc:AlternateContent>
  <xr:revisionPtr revIDLastSave="0" documentId="13_ncr:1_{7FBC9452-91AE-4782-9E01-50E9467E40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9" i="1"/>
  <c r="C30" i="1"/>
  <c r="F28" i="1"/>
  <c r="F29" i="1"/>
  <c r="F30" i="1"/>
  <c r="I28" i="1"/>
  <c r="I29" i="1"/>
  <c r="I30" i="1"/>
</calcChain>
</file>

<file path=xl/sharedStrings.xml><?xml version="1.0" encoding="utf-8"?>
<sst xmlns="http://schemas.openxmlformats.org/spreadsheetml/2006/main" count="159" uniqueCount="84">
  <si>
    <t>sched</t>
  </si>
  <si>
    <t>bound</t>
  </si>
  <si>
    <t>phase</t>
  </si>
  <si>
    <t>filename</t>
  </si>
  <si>
    <t>OVERALL_RunTime(ms)</t>
  </si>
  <si>
    <t>OVERALL_Throughput(ops/sec)</t>
  </si>
  <si>
    <t>TOTAL_GCS_G1_Young_Generation_Count</t>
  </si>
  <si>
    <t>TOTAL_GC_TIME_G1_Young_Generation_Time(ms)</t>
  </si>
  <si>
    <t>TOTAL_GC_TIME_%_G1_Young_Generation_Time(%)</t>
  </si>
  <si>
    <t>TOTAL_GCS_G1_Old_Generation_Count</t>
  </si>
  <si>
    <t>TOTAL_GC_TIME_G1_Old_Generation_Time(ms)</t>
  </si>
  <si>
    <t>TOTAL_GC_TIME_%_G1_Old_Generation_Time(%)</t>
  </si>
  <si>
    <t>TOTAL_GCs_Count</t>
  </si>
  <si>
    <t>TOTAL_GC_TIME_Time(ms)</t>
  </si>
  <si>
    <t>TOTAL_GC_TIME_%_Time(%)</t>
  </si>
  <si>
    <t>CLEANUP_Operations</t>
  </si>
  <si>
    <t>CLEANUP_AverageLatency(us)</t>
  </si>
  <si>
    <t>CLEANUP_MinLatency(us)</t>
  </si>
  <si>
    <t>CLEANUP_MaxLatency(us)</t>
  </si>
  <si>
    <t>CLEANUP_95thPercentileLatency(us)</t>
  </si>
  <si>
    <t>CLEANUP_99thPercentileLatency(us)</t>
  </si>
  <si>
    <t>INSERT_Operations</t>
  </si>
  <si>
    <t>INSERT_AverageLatency(us)</t>
  </si>
  <si>
    <t>INSERT_MinLatency(us)</t>
  </si>
  <si>
    <t>INSERT_MaxLatency(us)</t>
  </si>
  <si>
    <t>INSERT_95thPercentileLatency(us)</t>
  </si>
  <si>
    <t>INSERT_99thPercentileLatency(us)</t>
  </si>
  <si>
    <t>INSERT_Return=OK</t>
  </si>
  <si>
    <t>READ_Operations</t>
  </si>
  <si>
    <t>READ_AverageLatency(us)</t>
  </si>
  <si>
    <t>READ_MinLatency(us)</t>
  </si>
  <si>
    <t>READ_MaxLatency(us)</t>
  </si>
  <si>
    <t>READ_95thPercentileLatency(us)</t>
  </si>
  <si>
    <t>READ_99thPercentileLatency(us)</t>
  </si>
  <si>
    <t>READ_Return=OK</t>
  </si>
  <si>
    <t>UPDATE_Operations</t>
  </si>
  <si>
    <t>UPDATE_AverageLatency(us)</t>
  </si>
  <si>
    <t>UPDATE_MinLatency(us)</t>
  </si>
  <si>
    <t>UPDATE_MaxLatency(us)</t>
  </si>
  <si>
    <t>UPDATE_95thPercentileLatency(us)</t>
  </si>
  <si>
    <t>UPDATE_99thPercentileLatency(us)</t>
  </si>
  <si>
    <t>UPDATE_Return=OK</t>
  </si>
  <si>
    <t>10w</t>
  </si>
  <si>
    <t>cpu_bound</t>
  </si>
  <si>
    <t>load</t>
  </si>
  <si>
    <t>10w_cpu_bound_load.log</t>
  </si>
  <si>
    <t>run</t>
  </si>
  <si>
    <t>10w_cpu_bound_run.log</t>
  </si>
  <si>
    <t>io_bound</t>
  </si>
  <si>
    <t>10w_io_bound_load.log</t>
  </si>
  <si>
    <t>10w_io_bound_run.log</t>
  </si>
  <si>
    <t>mem_bound</t>
  </si>
  <si>
    <t>10w_mem_bound_load.log</t>
  </si>
  <si>
    <t>10w_mem_bound_run.log</t>
  </si>
  <si>
    <t>cpu</t>
  </si>
  <si>
    <t>cpu_cpu_bound_load.log</t>
  </si>
  <si>
    <t>cpu_cpu_bound_run.log</t>
  </si>
  <si>
    <t>cpu_io_bound_load.log</t>
  </si>
  <si>
    <t>cpu_io_bound_run.log</t>
  </si>
  <si>
    <t>cpu_mem_bound_load.log</t>
  </si>
  <si>
    <t>cpu_mem_bound_run.log</t>
  </si>
  <si>
    <t>rr</t>
  </si>
  <si>
    <t>rr_cpu_bound_load.log</t>
  </si>
  <si>
    <t>rr_cpu_bound_run.log</t>
  </si>
  <si>
    <t>rr_io_bound_load.log</t>
  </si>
  <si>
    <t>rr_io_bound_run.log</t>
  </si>
  <si>
    <t>rr_mem_bound_load.log</t>
  </si>
  <si>
    <t>rr_mem_bound_run.log</t>
  </si>
  <si>
    <t>thr</t>
  </si>
  <si>
    <t>thr_cpu_bound_load.log</t>
  </si>
  <si>
    <t>thr_cpu_bound_run.log</t>
  </si>
  <si>
    <t>thr_io_bound_load.log</t>
  </si>
  <si>
    <t>thr_io_bound_run.log</t>
  </si>
  <si>
    <t>thr_mem_bound_load.log</t>
  </si>
  <si>
    <t>thr_mem_bound_run.log</t>
  </si>
  <si>
    <t>cpu bound</t>
    <phoneticPr fontId="2" type="noConversion"/>
  </si>
  <si>
    <t>rr</t>
    <phoneticPr fontId="2" type="noConversion"/>
  </si>
  <si>
    <t>thr</t>
    <phoneticPr fontId="2" type="noConversion"/>
  </si>
  <si>
    <t xml:space="preserve">cpu </t>
    <phoneticPr fontId="2" type="noConversion"/>
  </si>
  <si>
    <t>10w</t>
    <phoneticPr fontId="2" type="noConversion"/>
  </si>
  <si>
    <t>throughput</t>
    <phoneticPr fontId="2" type="noConversion"/>
  </si>
  <si>
    <t>mem bound</t>
    <phoneticPr fontId="2" type="noConversion"/>
  </si>
  <si>
    <t>io bound</t>
    <phoneticPr fontId="2" type="noConversion"/>
  </si>
  <si>
    <t>percent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</si>
</sst>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Sheet1!$B$27</c:f>
              <c:strCache>
                <c:ptCount val="1"/>
                <c:pt idx="0">
                  <c:v>throughput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Sheet1!$A$28:$A$31</c:f>
              <c:strCache>
                <c:ptCount val="4"/>
                <c:pt idx="0">
                  <c:v>rr</c:v>
                </c:pt>
                <c:pt idx="1">
                  <c:v>thr</c:v>
                </c:pt>
                <c:pt idx="2">
                  <c:v>cpu </c:v>
                </c:pt>
                <c:pt idx="3">
                  <c:v>10w</c:v>
                </c:pt>
              </c:strCache>
            </c:strRef>
          </c:cat>
          <c:val>
            <c:numRef>
              <c:f>Sheet1!$B$28:$B$31</c:f>
              <c:numCache>
                <c:formatCode>General</c:formatCode>
                <c:ptCount val="4"/>
                <c:pt idx="0">
                  <c:v>7874.4807764238049</c:v>
                </c:pt>
                <c:pt idx="1">
                  <c:v>7912.3313684377099</c:v>
                </c:pt>
                <c:pt idx="2">
                  <c:v>10038.522831365361</c:v>
                </c:pt>
                <c:pt idx="3">
                  <c:v>9621.6294229427749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AB-4981-AD66-23651F7E9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1924319"/>
        <c:axId val="1631542239"/>
      </c:barChart>
      <c:catAx>
        <c:axId val="172192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31542239"/>
        <c:crosses val="autoZero"/>
        <c:auto val="1"/>
        <c:lblAlgn val="ctr"/>
        <c:lblOffset val="100"/>
        <c:noMultiLvlLbl val="0"/>
      </c:catAx>
      <c:valAx>
        <c:axId val="163154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219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Sheet1!$E$27</c:f>
              <c:strCache>
                <c:ptCount val="1"/>
                <c:pt idx="0">
                  <c:v>throughput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Sheet1!$D$28:$D$31</c:f>
              <c:strCache>
                <c:ptCount val="4"/>
                <c:pt idx="0">
                  <c:v>rr</c:v>
                </c:pt>
                <c:pt idx="1">
                  <c:v>thr</c:v>
                </c:pt>
                <c:pt idx="2">
                  <c:v>cpu </c:v>
                </c:pt>
                <c:pt idx="3">
                  <c:v>10w</c:v>
                </c:pt>
              </c:strCache>
            </c:strRef>
          </c:cat>
          <c:val>
            <c:numRef>
              <c:f>Sheet1!$E$28:$E$31</c:f>
              <c:numCache>
                <c:formatCode>General</c:formatCode>
                <c:ptCount val="4"/>
                <c:pt idx="0">
                  <c:v>41401.438699994833</c:v>
                </c:pt>
                <c:pt idx="1">
                  <c:v>41729.695894841163</c:v>
                </c:pt>
                <c:pt idx="2">
                  <c:v>42243.109092829232</c:v>
                </c:pt>
                <c:pt idx="3">
                  <c:v>45651.677699155443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8D-4410-8EC0-F86011EA2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8924047"/>
        <c:axId val="1718924527"/>
      </c:barChart>
      <c:catAx>
        <c:axId val="171892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18924527"/>
        <c:crosses val="autoZero"/>
        <c:auto val="1"/>
        <c:lblAlgn val="ctr"/>
        <c:lblOffset val="100"/>
        <c:noMultiLvlLbl val="0"/>
      </c:catAx>
      <c:valAx>
        <c:axId val="171892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1892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Sheet1!$H$27</c:f>
              <c:strCache>
                <c:ptCount val="1"/>
                <c:pt idx="0">
                  <c:v>throughput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Sheet1!$G$28:$G$31</c:f>
              <c:strCache>
                <c:ptCount val="4"/>
                <c:pt idx="0">
                  <c:v>rr</c:v>
                </c:pt>
                <c:pt idx="1">
                  <c:v>thr</c:v>
                </c:pt>
                <c:pt idx="2">
                  <c:v>cpu </c:v>
                </c:pt>
                <c:pt idx="3">
                  <c:v>10w</c:v>
                </c:pt>
              </c:strCache>
            </c:strRef>
          </c:cat>
          <c:val>
            <c:numRef>
              <c:f>Sheet1!$H$28:$H$31</c:f>
              <c:numCache>
                <c:formatCode>General</c:formatCode>
                <c:ptCount val="4"/>
                <c:pt idx="0">
                  <c:v>5921.2328006690996</c:v>
                </c:pt>
                <c:pt idx="1">
                  <c:v>5916.0658162322052</c:v>
                </c:pt>
                <c:pt idx="2">
                  <c:v>9368.4494045179345</c:v>
                </c:pt>
                <c:pt idx="3">
                  <c:v>9724.6702728985601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E0-4912-A2D2-C0016B36B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1710991"/>
        <c:axId val="1572308208"/>
      </c:barChart>
      <c:catAx>
        <c:axId val="172171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72308208"/>
        <c:crosses val="autoZero"/>
        <c:auto val="1"/>
        <c:lblAlgn val="ctr"/>
        <c:lblOffset val="100"/>
        <c:noMultiLvlLbl val="0"/>
      </c:catAx>
      <c:valAx>
        <c:axId val="157230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21710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6</xdr:col>
      <xdr:colOff>457200</xdr:colOff>
      <xdr:row>45</xdr:row>
      <xdr:rowOff>19050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BCD0AD14-5BB0-43DE-B4C5-1CC84FD58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32</xdr:row>
      <xdr:rowOff>0</xdr:rowOff>
    </xdr:from>
    <xdr:to>
      <xdr:col>13</xdr:col>
      <xdr:colOff>457200</xdr:colOff>
      <xdr:row>45</xdr:row>
      <xdr:rowOff>19050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6FAA1D1-CB56-4162-99FD-C05B9A1DF7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32</xdr:row>
      <xdr:rowOff>0</xdr:rowOff>
    </xdr:from>
    <xdr:to>
      <xdr:col>20</xdr:col>
      <xdr:colOff>457200</xdr:colOff>
      <xdr:row>45</xdr:row>
      <xdr:rowOff>19050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7EC492E8-CF93-42FB-998A-AAA044B042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1"/>
  <sheetViews>
    <sheetView tabSelected="1" topLeftCell="A19" workbookViewId="0">
      <selection activeCell="O31" sqref="O31"/>
    </sheetView>
  </sheetViews>
  <sheetFormatPr defaultRowHeight="16.5" x14ac:dyDescent="0.3"/>
  <sheetData>
    <row r="1" spans="1:4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spans="1:42" x14ac:dyDescent="0.3">
      <c r="A2" t="s">
        <v>42</v>
      </c>
      <c r="B2" t="s">
        <v>43</v>
      </c>
      <c r="C2" t="s">
        <v>44</v>
      </c>
      <c r="D2" t="s">
        <v>45</v>
      </c>
      <c r="E2">
        <v>46044</v>
      </c>
      <c r="F2">
        <v>17374.685083832861</v>
      </c>
      <c r="G2">
        <v>17</v>
      </c>
      <c r="H2">
        <v>127</v>
      </c>
      <c r="I2">
        <v>0.27582312570584661</v>
      </c>
      <c r="J2">
        <v>0</v>
      </c>
      <c r="K2">
        <v>0</v>
      </c>
      <c r="L2">
        <v>0</v>
      </c>
      <c r="M2">
        <v>17</v>
      </c>
      <c r="N2">
        <v>127</v>
      </c>
      <c r="O2">
        <v>0.27582312570584661</v>
      </c>
      <c r="P2">
        <v>1</v>
      </c>
      <c r="Q2">
        <v>24984</v>
      </c>
      <c r="R2">
        <v>24976</v>
      </c>
      <c r="S2">
        <v>24991</v>
      </c>
      <c r="T2">
        <v>24991</v>
      </c>
      <c r="U2">
        <v>24991</v>
      </c>
      <c r="V2">
        <v>800000</v>
      </c>
      <c r="W2">
        <v>56.350985000000001</v>
      </c>
      <c r="X2">
        <v>32</v>
      </c>
      <c r="Y2">
        <v>60575</v>
      </c>
      <c r="Z2">
        <v>64</v>
      </c>
      <c r="AA2">
        <v>113</v>
      </c>
      <c r="AB2">
        <v>800000</v>
      </c>
    </row>
    <row r="3" spans="1:42" x14ac:dyDescent="0.3">
      <c r="A3" t="s">
        <v>42</v>
      </c>
      <c r="B3" t="s">
        <v>43</v>
      </c>
      <c r="C3" t="s">
        <v>46</v>
      </c>
      <c r="D3" t="s">
        <v>47</v>
      </c>
      <c r="E3">
        <v>83146</v>
      </c>
      <c r="F3">
        <v>9621.6294229427749</v>
      </c>
      <c r="G3">
        <v>15</v>
      </c>
      <c r="H3">
        <v>92</v>
      </c>
      <c r="I3">
        <v>0.1106487383638419</v>
      </c>
      <c r="J3">
        <v>0</v>
      </c>
      <c r="K3">
        <v>0</v>
      </c>
      <c r="L3">
        <v>0</v>
      </c>
      <c r="M3">
        <v>15</v>
      </c>
      <c r="N3">
        <v>92</v>
      </c>
      <c r="O3">
        <v>0.1106487383638419</v>
      </c>
      <c r="P3">
        <v>1</v>
      </c>
      <c r="Q3">
        <v>97952</v>
      </c>
      <c r="R3">
        <v>97920</v>
      </c>
      <c r="S3">
        <v>97983</v>
      </c>
      <c r="T3">
        <v>97983</v>
      </c>
      <c r="U3">
        <v>97983</v>
      </c>
      <c r="AC3">
        <v>399846</v>
      </c>
      <c r="AD3">
        <v>57.832873156165121</v>
      </c>
      <c r="AE3">
        <v>1</v>
      </c>
      <c r="AF3">
        <v>22879</v>
      </c>
      <c r="AG3">
        <v>146</v>
      </c>
      <c r="AH3">
        <v>238</v>
      </c>
      <c r="AI3">
        <v>399846</v>
      </c>
      <c r="AJ3">
        <v>400154</v>
      </c>
      <c r="AK3">
        <v>143.12293516995959</v>
      </c>
      <c r="AL3">
        <v>40</v>
      </c>
      <c r="AM3">
        <v>28319</v>
      </c>
      <c r="AN3">
        <v>226</v>
      </c>
      <c r="AO3">
        <v>1503</v>
      </c>
      <c r="AP3">
        <v>400154</v>
      </c>
    </row>
    <row r="4" spans="1:42" x14ac:dyDescent="0.3">
      <c r="A4" t="s">
        <v>42</v>
      </c>
      <c r="B4" t="s">
        <v>48</v>
      </c>
      <c r="C4" t="s">
        <v>44</v>
      </c>
      <c r="D4" t="s">
        <v>49</v>
      </c>
      <c r="E4">
        <v>41517</v>
      </c>
      <c r="F4">
        <v>19269.215020353109</v>
      </c>
      <c r="G4">
        <v>17</v>
      </c>
      <c r="H4">
        <v>119</v>
      </c>
      <c r="I4">
        <v>0.28662957342775253</v>
      </c>
      <c r="J4">
        <v>0</v>
      </c>
      <c r="K4">
        <v>0</v>
      </c>
      <c r="L4">
        <v>0</v>
      </c>
      <c r="M4">
        <v>17</v>
      </c>
      <c r="N4">
        <v>119</v>
      </c>
      <c r="O4">
        <v>0.28662957342775253</v>
      </c>
      <c r="P4">
        <v>1</v>
      </c>
      <c r="Q4">
        <v>466048</v>
      </c>
      <c r="R4">
        <v>465920</v>
      </c>
      <c r="S4">
        <v>466175</v>
      </c>
      <c r="T4">
        <v>466175</v>
      </c>
      <c r="U4">
        <v>466175</v>
      </c>
      <c r="V4">
        <v>800000</v>
      </c>
      <c r="W4">
        <v>50.139317499999997</v>
      </c>
      <c r="X4">
        <v>35</v>
      </c>
      <c r="Y4">
        <v>23599</v>
      </c>
      <c r="Z4">
        <v>56</v>
      </c>
      <c r="AA4">
        <v>75</v>
      </c>
      <c r="AB4">
        <v>800000</v>
      </c>
    </row>
    <row r="5" spans="1:42" x14ac:dyDescent="0.3">
      <c r="A5" t="s">
        <v>42</v>
      </c>
      <c r="B5" t="s">
        <v>48</v>
      </c>
      <c r="C5" t="s">
        <v>46</v>
      </c>
      <c r="D5" t="s">
        <v>50</v>
      </c>
      <c r="E5">
        <v>82265</v>
      </c>
      <c r="F5">
        <v>9724.6702728985601</v>
      </c>
      <c r="G5">
        <v>17</v>
      </c>
      <c r="H5">
        <v>93</v>
      </c>
      <c r="I5">
        <v>0.1130492919224458</v>
      </c>
      <c r="J5">
        <v>0</v>
      </c>
      <c r="K5">
        <v>0</v>
      </c>
      <c r="L5">
        <v>0</v>
      </c>
      <c r="M5">
        <v>17</v>
      </c>
      <c r="N5">
        <v>93</v>
      </c>
      <c r="O5">
        <v>0.1130492919224458</v>
      </c>
      <c r="P5">
        <v>1</v>
      </c>
      <c r="Q5">
        <v>83680</v>
      </c>
      <c r="R5">
        <v>83648</v>
      </c>
      <c r="S5">
        <v>83711</v>
      </c>
      <c r="T5">
        <v>83711</v>
      </c>
      <c r="U5">
        <v>83711</v>
      </c>
      <c r="V5">
        <v>560244</v>
      </c>
      <c r="W5">
        <v>46.489156510377619</v>
      </c>
      <c r="X5">
        <v>31</v>
      </c>
      <c r="Y5">
        <v>27423</v>
      </c>
      <c r="Z5">
        <v>64</v>
      </c>
      <c r="AA5">
        <v>81</v>
      </c>
      <c r="AB5">
        <v>560244</v>
      </c>
      <c r="AC5">
        <v>79801</v>
      </c>
      <c r="AD5">
        <v>187.3287678099272</v>
      </c>
      <c r="AE5">
        <v>3</v>
      </c>
      <c r="AF5">
        <v>27855</v>
      </c>
      <c r="AG5">
        <v>320</v>
      </c>
      <c r="AH5">
        <v>1128</v>
      </c>
      <c r="AI5">
        <v>79801</v>
      </c>
      <c r="AJ5">
        <v>159955</v>
      </c>
      <c r="AK5">
        <v>240.7564377481167</v>
      </c>
      <c r="AL5">
        <v>37</v>
      </c>
      <c r="AM5">
        <v>51839</v>
      </c>
      <c r="AN5">
        <v>378</v>
      </c>
      <c r="AO5">
        <v>1221</v>
      </c>
      <c r="AP5">
        <v>159955</v>
      </c>
    </row>
    <row r="6" spans="1:42" x14ac:dyDescent="0.3">
      <c r="A6" t="s">
        <v>42</v>
      </c>
      <c r="B6" t="s">
        <v>51</v>
      </c>
      <c r="C6" t="s">
        <v>44</v>
      </c>
      <c r="D6" t="s">
        <v>52</v>
      </c>
      <c r="E6">
        <v>16187</v>
      </c>
      <c r="F6">
        <v>49422.375980725272</v>
      </c>
      <c r="G6">
        <v>5</v>
      </c>
      <c r="H6">
        <v>40</v>
      </c>
      <c r="I6">
        <v>0.2471118799036264</v>
      </c>
      <c r="J6">
        <v>0</v>
      </c>
      <c r="K6">
        <v>0</v>
      </c>
      <c r="L6">
        <v>0</v>
      </c>
      <c r="M6">
        <v>5</v>
      </c>
      <c r="N6">
        <v>40</v>
      </c>
      <c r="O6">
        <v>0.2471118799036264</v>
      </c>
      <c r="P6">
        <v>1</v>
      </c>
      <c r="Q6">
        <v>26824</v>
      </c>
      <c r="R6">
        <v>26816</v>
      </c>
      <c r="S6">
        <v>26831</v>
      </c>
      <c r="T6">
        <v>26831</v>
      </c>
      <c r="U6">
        <v>26831</v>
      </c>
      <c r="V6">
        <v>800000</v>
      </c>
      <c r="W6">
        <v>19.01429375</v>
      </c>
      <c r="X6">
        <v>10</v>
      </c>
      <c r="Y6">
        <v>23583</v>
      </c>
      <c r="Z6">
        <v>30</v>
      </c>
      <c r="AA6">
        <v>35</v>
      </c>
      <c r="AB6">
        <v>800000</v>
      </c>
    </row>
    <row r="7" spans="1:42" x14ac:dyDescent="0.3">
      <c r="A7" t="s">
        <v>42</v>
      </c>
      <c r="B7" t="s">
        <v>51</v>
      </c>
      <c r="C7" t="s">
        <v>46</v>
      </c>
      <c r="D7" t="s">
        <v>53</v>
      </c>
      <c r="E7">
        <v>17524</v>
      </c>
      <c r="F7">
        <v>45651.677699155443</v>
      </c>
      <c r="G7">
        <v>2</v>
      </c>
      <c r="H7">
        <v>19</v>
      </c>
      <c r="I7">
        <v>0.1084227345354942</v>
      </c>
      <c r="J7">
        <v>0</v>
      </c>
      <c r="K7">
        <v>0</v>
      </c>
      <c r="L7">
        <v>0</v>
      </c>
      <c r="M7">
        <v>2</v>
      </c>
      <c r="N7">
        <v>19</v>
      </c>
      <c r="O7">
        <v>0.1084227345354942</v>
      </c>
      <c r="P7">
        <v>1</v>
      </c>
      <c r="Q7">
        <v>24536</v>
      </c>
      <c r="R7">
        <v>24528</v>
      </c>
      <c r="S7">
        <v>24543</v>
      </c>
      <c r="T7">
        <v>24543</v>
      </c>
      <c r="U7">
        <v>24543</v>
      </c>
      <c r="AC7">
        <v>800000</v>
      </c>
      <c r="AD7">
        <v>19.770712499999998</v>
      </c>
      <c r="AE7">
        <v>1</v>
      </c>
      <c r="AF7">
        <v>17791</v>
      </c>
      <c r="AG7">
        <v>55</v>
      </c>
      <c r="AH7">
        <v>104</v>
      </c>
      <c r="AI7">
        <v>800000</v>
      </c>
    </row>
    <row r="8" spans="1:42" x14ac:dyDescent="0.3">
      <c r="A8" t="s">
        <v>54</v>
      </c>
      <c r="B8" t="s">
        <v>43</v>
      </c>
      <c r="C8" t="s">
        <v>44</v>
      </c>
      <c r="D8" t="s">
        <v>55</v>
      </c>
      <c r="E8">
        <v>37069</v>
      </c>
      <c r="F8">
        <v>21581.375273139281</v>
      </c>
      <c r="G8">
        <v>17</v>
      </c>
      <c r="H8">
        <v>102</v>
      </c>
      <c r="I8">
        <v>0.27516253473252578</v>
      </c>
      <c r="J8">
        <v>0</v>
      </c>
      <c r="K8">
        <v>0</v>
      </c>
      <c r="L8">
        <v>0</v>
      </c>
      <c r="M8">
        <v>17</v>
      </c>
      <c r="N8">
        <v>102</v>
      </c>
      <c r="O8">
        <v>0.27516253473252578</v>
      </c>
      <c r="P8">
        <v>1</v>
      </c>
      <c r="Q8">
        <v>419200</v>
      </c>
      <c r="R8">
        <v>419072</v>
      </c>
      <c r="S8">
        <v>419327</v>
      </c>
      <c r="T8">
        <v>419327</v>
      </c>
      <c r="U8">
        <v>419327</v>
      </c>
      <c r="V8">
        <v>800000</v>
      </c>
      <c r="W8">
        <v>44.458761250000002</v>
      </c>
      <c r="X8">
        <v>31</v>
      </c>
      <c r="Y8">
        <v>83583</v>
      </c>
      <c r="Z8">
        <v>67</v>
      </c>
      <c r="AA8">
        <v>100</v>
      </c>
      <c r="AB8">
        <v>800000</v>
      </c>
    </row>
    <row r="9" spans="1:42" x14ac:dyDescent="0.3">
      <c r="A9" t="s">
        <v>54</v>
      </c>
      <c r="B9" t="s">
        <v>43</v>
      </c>
      <c r="C9" t="s">
        <v>46</v>
      </c>
      <c r="D9" t="s">
        <v>56</v>
      </c>
      <c r="E9">
        <v>79693</v>
      </c>
      <c r="F9">
        <v>10038.522831365361</v>
      </c>
      <c r="G9">
        <v>15</v>
      </c>
      <c r="H9">
        <v>99</v>
      </c>
      <c r="I9">
        <v>0.1242267200381464</v>
      </c>
      <c r="J9">
        <v>0</v>
      </c>
      <c r="K9">
        <v>0</v>
      </c>
      <c r="L9">
        <v>0</v>
      </c>
      <c r="M9">
        <v>15</v>
      </c>
      <c r="N9">
        <v>99</v>
      </c>
      <c r="O9">
        <v>0.1242267200381464</v>
      </c>
      <c r="P9">
        <v>1</v>
      </c>
      <c r="Q9">
        <v>51280</v>
      </c>
      <c r="R9">
        <v>51264</v>
      </c>
      <c r="S9">
        <v>51295</v>
      </c>
      <c r="T9">
        <v>51295</v>
      </c>
      <c r="U9">
        <v>51295</v>
      </c>
      <c r="AC9">
        <v>400578</v>
      </c>
      <c r="AD9">
        <v>71.344509683507326</v>
      </c>
      <c r="AE9">
        <v>1</v>
      </c>
      <c r="AF9">
        <v>17519</v>
      </c>
      <c r="AG9">
        <v>176</v>
      </c>
      <c r="AH9">
        <v>347</v>
      </c>
      <c r="AI9">
        <v>400578</v>
      </c>
      <c r="AJ9">
        <v>399422</v>
      </c>
      <c r="AK9">
        <v>120.7642893981804</v>
      </c>
      <c r="AL9">
        <v>36</v>
      </c>
      <c r="AM9">
        <v>30703</v>
      </c>
      <c r="AN9">
        <v>237</v>
      </c>
      <c r="AO9">
        <v>420</v>
      </c>
      <c r="AP9">
        <v>399422</v>
      </c>
    </row>
    <row r="10" spans="1:42" x14ac:dyDescent="0.3">
      <c r="A10" t="s">
        <v>54</v>
      </c>
      <c r="B10" t="s">
        <v>48</v>
      </c>
      <c r="C10" t="s">
        <v>44</v>
      </c>
      <c r="D10" t="s">
        <v>57</v>
      </c>
      <c r="E10">
        <v>36302</v>
      </c>
      <c r="F10">
        <v>22037.35331386701</v>
      </c>
      <c r="G10">
        <v>17</v>
      </c>
      <c r="H10">
        <v>111</v>
      </c>
      <c r="I10">
        <v>0.30576827722990468</v>
      </c>
      <c r="J10">
        <v>0</v>
      </c>
      <c r="K10">
        <v>0</v>
      </c>
      <c r="L10">
        <v>0</v>
      </c>
      <c r="M10">
        <v>17</v>
      </c>
      <c r="N10">
        <v>111</v>
      </c>
      <c r="O10">
        <v>0.30576827722990468</v>
      </c>
      <c r="P10">
        <v>1</v>
      </c>
      <c r="Q10">
        <v>411008</v>
      </c>
      <c r="R10">
        <v>410880</v>
      </c>
      <c r="S10">
        <v>411135</v>
      </c>
      <c r="T10">
        <v>411135</v>
      </c>
      <c r="U10">
        <v>411135</v>
      </c>
      <c r="V10">
        <v>800000</v>
      </c>
      <c r="W10">
        <v>43.449963750000002</v>
      </c>
      <c r="X10">
        <v>31</v>
      </c>
      <c r="Y10">
        <v>57343</v>
      </c>
      <c r="Z10">
        <v>69</v>
      </c>
      <c r="AA10">
        <v>100</v>
      </c>
      <c r="AB10">
        <v>800000</v>
      </c>
    </row>
    <row r="11" spans="1:42" x14ac:dyDescent="0.3">
      <c r="A11" t="s">
        <v>54</v>
      </c>
      <c r="B11" t="s">
        <v>48</v>
      </c>
      <c r="C11" t="s">
        <v>46</v>
      </c>
      <c r="D11" t="s">
        <v>58</v>
      </c>
      <c r="E11">
        <v>85393</v>
      </c>
      <c r="F11">
        <v>9368.4494045179345</v>
      </c>
      <c r="G11">
        <v>17</v>
      </c>
      <c r="H11">
        <v>103</v>
      </c>
      <c r="I11">
        <v>0.12061878608316839</v>
      </c>
      <c r="J11">
        <v>0</v>
      </c>
      <c r="K11">
        <v>0</v>
      </c>
      <c r="L11">
        <v>0</v>
      </c>
      <c r="M11">
        <v>17</v>
      </c>
      <c r="N11">
        <v>103</v>
      </c>
      <c r="O11">
        <v>0.12061878608316839</v>
      </c>
      <c r="P11">
        <v>1</v>
      </c>
      <c r="Q11">
        <v>176064</v>
      </c>
      <c r="R11">
        <v>176000</v>
      </c>
      <c r="S11">
        <v>176127</v>
      </c>
      <c r="T11">
        <v>176127</v>
      </c>
      <c r="U11">
        <v>176127</v>
      </c>
      <c r="V11">
        <v>560618</v>
      </c>
      <c r="W11">
        <v>47.615831100678179</v>
      </c>
      <c r="X11">
        <v>32</v>
      </c>
      <c r="Y11">
        <v>162943</v>
      </c>
      <c r="Z11">
        <v>73</v>
      </c>
      <c r="AA11">
        <v>108</v>
      </c>
      <c r="AB11">
        <v>560618</v>
      </c>
      <c r="AC11">
        <v>79410</v>
      </c>
      <c r="AD11">
        <v>198.06037023044959</v>
      </c>
      <c r="AE11">
        <v>3</v>
      </c>
      <c r="AF11">
        <v>22575</v>
      </c>
      <c r="AG11">
        <v>357</v>
      </c>
      <c r="AH11">
        <v>1020</v>
      </c>
      <c r="AI11">
        <v>79410</v>
      </c>
      <c r="AJ11">
        <v>159972</v>
      </c>
      <c r="AK11">
        <v>250.0090953416848</v>
      </c>
      <c r="AL11">
        <v>40</v>
      </c>
      <c r="AM11">
        <v>83583</v>
      </c>
      <c r="AN11">
        <v>430</v>
      </c>
      <c r="AO11">
        <v>1057</v>
      </c>
      <c r="AP11">
        <v>159972</v>
      </c>
    </row>
    <row r="12" spans="1:42" x14ac:dyDescent="0.3">
      <c r="A12" t="s">
        <v>54</v>
      </c>
      <c r="B12" t="s">
        <v>51</v>
      </c>
      <c r="C12" t="s">
        <v>44</v>
      </c>
      <c r="D12" t="s">
        <v>59</v>
      </c>
      <c r="E12">
        <v>16984</v>
      </c>
      <c r="F12">
        <v>47103.155911446069</v>
      </c>
      <c r="G12">
        <v>5</v>
      </c>
      <c r="H12">
        <v>36</v>
      </c>
      <c r="I12">
        <v>0.21196420160150731</v>
      </c>
      <c r="J12">
        <v>0</v>
      </c>
      <c r="K12">
        <v>0</v>
      </c>
      <c r="L12">
        <v>0</v>
      </c>
      <c r="M12">
        <v>5</v>
      </c>
      <c r="N12">
        <v>36</v>
      </c>
      <c r="O12">
        <v>0.21196420160150731</v>
      </c>
      <c r="P12">
        <v>1</v>
      </c>
      <c r="Q12">
        <v>20280</v>
      </c>
      <c r="R12">
        <v>20272</v>
      </c>
      <c r="S12">
        <v>20287</v>
      </c>
      <c r="T12">
        <v>20287</v>
      </c>
      <c r="U12">
        <v>20287</v>
      </c>
      <c r="V12">
        <v>800000</v>
      </c>
      <c r="W12">
        <v>19.912656250000001</v>
      </c>
      <c r="X12">
        <v>11</v>
      </c>
      <c r="Y12">
        <v>35807</v>
      </c>
      <c r="Z12">
        <v>35</v>
      </c>
      <c r="AA12">
        <v>60</v>
      </c>
      <c r="AB12">
        <v>800000</v>
      </c>
    </row>
    <row r="13" spans="1:42" x14ac:dyDescent="0.3">
      <c r="A13" t="s">
        <v>54</v>
      </c>
      <c r="B13" t="s">
        <v>51</v>
      </c>
      <c r="C13" t="s">
        <v>46</v>
      </c>
      <c r="D13" t="s">
        <v>60</v>
      </c>
      <c r="E13">
        <v>18938</v>
      </c>
      <c r="F13">
        <v>42243.109092829232</v>
      </c>
      <c r="G13">
        <v>2</v>
      </c>
      <c r="H13">
        <v>18</v>
      </c>
      <c r="I13">
        <v>9.5046995458865774E-2</v>
      </c>
      <c r="J13">
        <v>0</v>
      </c>
      <c r="K13">
        <v>0</v>
      </c>
      <c r="L13">
        <v>0</v>
      </c>
      <c r="M13">
        <v>2</v>
      </c>
      <c r="N13">
        <v>18</v>
      </c>
      <c r="O13">
        <v>9.5046995458865774E-2</v>
      </c>
      <c r="P13">
        <v>1</v>
      </c>
      <c r="Q13">
        <v>17608</v>
      </c>
      <c r="R13">
        <v>17600</v>
      </c>
      <c r="S13">
        <v>17615</v>
      </c>
      <c r="T13">
        <v>17615</v>
      </c>
      <c r="U13">
        <v>17615</v>
      </c>
      <c r="AC13">
        <v>800000</v>
      </c>
      <c r="AD13">
        <v>21.439399999999999</v>
      </c>
      <c r="AE13">
        <v>1</v>
      </c>
      <c r="AF13">
        <v>16103</v>
      </c>
      <c r="AG13">
        <v>59</v>
      </c>
      <c r="AH13">
        <v>106</v>
      </c>
      <c r="AI13">
        <v>800000</v>
      </c>
    </row>
    <row r="14" spans="1:42" x14ac:dyDescent="0.3">
      <c r="A14" t="s">
        <v>61</v>
      </c>
      <c r="B14" t="s">
        <v>43</v>
      </c>
      <c r="C14" t="s">
        <v>44</v>
      </c>
      <c r="D14" t="s">
        <v>62</v>
      </c>
      <c r="E14">
        <v>88180</v>
      </c>
      <c r="F14">
        <v>9072.3520072578813</v>
      </c>
      <c r="G14">
        <v>17</v>
      </c>
      <c r="H14">
        <v>102</v>
      </c>
      <c r="I14">
        <v>0.115672488092538</v>
      </c>
      <c r="J14">
        <v>0</v>
      </c>
      <c r="K14">
        <v>0</v>
      </c>
      <c r="L14">
        <v>0</v>
      </c>
      <c r="M14">
        <v>17</v>
      </c>
      <c r="N14">
        <v>102</v>
      </c>
      <c r="O14">
        <v>0.115672488092538</v>
      </c>
      <c r="P14">
        <v>1</v>
      </c>
      <c r="Q14">
        <v>65200</v>
      </c>
      <c r="R14">
        <v>65184</v>
      </c>
      <c r="S14">
        <v>65215</v>
      </c>
      <c r="T14">
        <v>65215</v>
      </c>
      <c r="U14">
        <v>65215</v>
      </c>
      <c r="V14">
        <v>800000</v>
      </c>
      <c r="W14">
        <v>108.88001125</v>
      </c>
      <c r="X14">
        <v>40</v>
      </c>
      <c r="Y14">
        <v>99263</v>
      </c>
      <c r="Z14">
        <v>108</v>
      </c>
      <c r="AA14">
        <v>1209</v>
      </c>
      <c r="AB14">
        <v>800000</v>
      </c>
    </row>
    <row r="15" spans="1:42" x14ac:dyDescent="0.3">
      <c r="A15" t="s">
        <v>61</v>
      </c>
      <c r="B15" t="s">
        <v>43</v>
      </c>
      <c r="C15" t="s">
        <v>46</v>
      </c>
      <c r="D15" t="s">
        <v>63</v>
      </c>
      <c r="E15">
        <v>101594</v>
      </c>
      <c r="F15">
        <v>7874.4807764238049</v>
      </c>
      <c r="G15">
        <v>15</v>
      </c>
      <c r="H15">
        <v>95</v>
      </c>
      <c r="I15">
        <v>9.3509459220032676E-2</v>
      </c>
      <c r="J15">
        <v>0</v>
      </c>
      <c r="K15">
        <v>0</v>
      </c>
      <c r="L15">
        <v>0</v>
      </c>
      <c r="M15">
        <v>15</v>
      </c>
      <c r="N15">
        <v>95</v>
      </c>
      <c r="O15">
        <v>9.3509459220032676E-2</v>
      </c>
      <c r="P15">
        <v>1</v>
      </c>
      <c r="Q15">
        <v>197952</v>
      </c>
      <c r="R15">
        <v>197888</v>
      </c>
      <c r="S15">
        <v>198015</v>
      </c>
      <c r="T15">
        <v>198015</v>
      </c>
      <c r="U15">
        <v>198015</v>
      </c>
      <c r="AC15">
        <v>399488</v>
      </c>
      <c r="AD15">
        <v>68.901926966517138</v>
      </c>
      <c r="AE15">
        <v>1</v>
      </c>
      <c r="AF15">
        <v>13071</v>
      </c>
      <c r="AG15">
        <v>163</v>
      </c>
      <c r="AH15">
        <v>368</v>
      </c>
      <c r="AI15">
        <v>399488</v>
      </c>
      <c r="AJ15">
        <v>400512</v>
      </c>
      <c r="AK15">
        <v>177.1639027045382</v>
      </c>
      <c r="AL15">
        <v>48</v>
      </c>
      <c r="AM15">
        <v>36255</v>
      </c>
      <c r="AN15">
        <v>298</v>
      </c>
      <c r="AO15">
        <v>1091</v>
      </c>
      <c r="AP15">
        <v>400512</v>
      </c>
    </row>
    <row r="16" spans="1:42" x14ac:dyDescent="0.3">
      <c r="A16" t="s">
        <v>61</v>
      </c>
      <c r="B16" t="s">
        <v>48</v>
      </c>
      <c r="C16" t="s">
        <v>44</v>
      </c>
      <c r="D16" t="s">
        <v>64</v>
      </c>
      <c r="E16">
        <v>87774</v>
      </c>
      <c r="F16">
        <v>9114.3163123476206</v>
      </c>
      <c r="G16">
        <v>17</v>
      </c>
      <c r="H16">
        <v>101</v>
      </c>
      <c r="I16">
        <v>0.1150682434433887</v>
      </c>
      <c r="J16">
        <v>0</v>
      </c>
      <c r="K16">
        <v>0</v>
      </c>
      <c r="L16">
        <v>0</v>
      </c>
      <c r="M16">
        <v>17</v>
      </c>
      <c r="N16">
        <v>101</v>
      </c>
      <c r="O16">
        <v>0.1150682434433887</v>
      </c>
      <c r="P16">
        <v>1</v>
      </c>
      <c r="Q16">
        <v>83040</v>
      </c>
      <c r="R16">
        <v>83008</v>
      </c>
      <c r="S16">
        <v>83071</v>
      </c>
      <c r="T16">
        <v>83071</v>
      </c>
      <c r="U16">
        <v>83071</v>
      </c>
      <c r="V16">
        <v>800000</v>
      </c>
      <c r="W16">
        <v>108.33286124999999</v>
      </c>
      <c r="X16">
        <v>40</v>
      </c>
      <c r="Y16">
        <v>33919</v>
      </c>
      <c r="Z16">
        <v>108</v>
      </c>
      <c r="AA16">
        <v>1209</v>
      </c>
      <c r="AB16">
        <v>800000</v>
      </c>
    </row>
    <row r="17" spans="1:42" x14ac:dyDescent="0.3">
      <c r="A17" t="s">
        <v>61</v>
      </c>
      <c r="B17" t="s">
        <v>48</v>
      </c>
      <c r="C17" t="s">
        <v>46</v>
      </c>
      <c r="D17" t="s">
        <v>65</v>
      </c>
      <c r="E17">
        <v>135107</v>
      </c>
      <c r="F17">
        <v>5921.2328006690996</v>
      </c>
      <c r="G17">
        <v>17</v>
      </c>
      <c r="H17">
        <v>94</v>
      </c>
      <c r="I17">
        <v>6.9574485407861916E-2</v>
      </c>
      <c r="J17">
        <v>0</v>
      </c>
      <c r="K17">
        <v>0</v>
      </c>
      <c r="L17">
        <v>0</v>
      </c>
      <c r="M17">
        <v>17</v>
      </c>
      <c r="N17">
        <v>94</v>
      </c>
      <c r="O17">
        <v>6.9574485407861916E-2</v>
      </c>
      <c r="P17">
        <v>1</v>
      </c>
      <c r="Q17">
        <v>108448</v>
      </c>
      <c r="R17">
        <v>108416</v>
      </c>
      <c r="S17">
        <v>108479</v>
      </c>
      <c r="T17">
        <v>108479</v>
      </c>
      <c r="U17">
        <v>108479</v>
      </c>
      <c r="V17">
        <v>559566</v>
      </c>
      <c r="W17">
        <v>115.2008967664225</v>
      </c>
      <c r="X17">
        <v>44</v>
      </c>
      <c r="Y17">
        <v>31359</v>
      </c>
      <c r="Z17">
        <v>125</v>
      </c>
      <c r="AA17">
        <v>1124</v>
      </c>
      <c r="AB17">
        <v>559566</v>
      </c>
      <c r="AC17">
        <v>79985</v>
      </c>
      <c r="AD17">
        <v>200.65122210414449</v>
      </c>
      <c r="AE17">
        <v>3</v>
      </c>
      <c r="AF17">
        <v>17471</v>
      </c>
      <c r="AG17">
        <v>359</v>
      </c>
      <c r="AH17">
        <v>1338</v>
      </c>
      <c r="AI17">
        <v>79985</v>
      </c>
      <c r="AJ17">
        <v>160449</v>
      </c>
      <c r="AK17">
        <v>321.25126987391633</v>
      </c>
      <c r="AL17">
        <v>59</v>
      </c>
      <c r="AM17">
        <v>23279</v>
      </c>
      <c r="AN17">
        <v>773</v>
      </c>
      <c r="AO17">
        <v>1813</v>
      </c>
      <c r="AP17">
        <v>160449</v>
      </c>
    </row>
    <row r="18" spans="1:42" x14ac:dyDescent="0.3">
      <c r="A18" t="s">
        <v>61</v>
      </c>
      <c r="B18" t="s">
        <v>51</v>
      </c>
      <c r="C18" t="s">
        <v>44</v>
      </c>
      <c r="D18" t="s">
        <v>66</v>
      </c>
      <c r="E18">
        <v>42099</v>
      </c>
      <c r="F18">
        <v>19002.826670467231</v>
      </c>
      <c r="G18">
        <v>5</v>
      </c>
      <c r="H18">
        <v>32</v>
      </c>
      <c r="I18">
        <v>7.6011306681868923E-2</v>
      </c>
      <c r="J18">
        <v>0</v>
      </c>
      <c r="K18">
        <v>0</v>
      </c>
      <c r="L18">
        <v>0</v>
      </c>
      <c r="M18">
        <v>5</v>
      </c>
      <c r="N18">
        <v>32</v>
      </c>
      <c r="O18">
        <v>7.6011306681868923E-2</v>
      </c>
      <c r="P18">
        <v>1</v>
      </c>
      <c r="Q18">
        <v>34480</v>
      </c>
      <c r="R18">
        <v>34464</v>
      </c>
      <c r="S18">
        <v>34495</v>
      </c>
      <c r="T18">
        <v>34495</v>
      </c>
      <c r="U18">
        <v>34495</v>
      </c>
      <c r="V18">
        <v>800000</v>
      </c>
      <c r="W18">
        <v>51.3963325</v>
      </c>
      <c r="X18">
        <v>14</v>
      </c>
      <c r="Y18">
        <v>32527</v>
      </c>
      <c r="Z18">
        <v>74</v>
      </c>
      <c r="AA18">
        <v>198</v>
      </c>
      <c r="AB18">
        <v>800000</v>
      </c>
    </row>
    <row r="19" spans="1:42" x14ac:dyDescent="0.3">
      <c r="A19" t="s">
        <v>61</v>
      </c>
      <c r="B19" t="s">
        <v>51</v>
      </c>
      <c r="C19" t="s">
        <v>46</v>
      </c>
      <c r="D19" t="s">
        <v>67</v>
      </c>
      <c r="E19">
        <v>19323</v>
      </c>
      <c r="F19">
        <v>41401.438699994833</v>
      </c>
      <c r="G19">
        <v>2</v>
      </c>
      <c r="H19">
        <v>18</v>
      </c>
      <c r="I19">
        <v>9.3153237074988363E-2</v>
      </c>
      <c r="J19">
        <v>0</v>
      </c>
      <c r="K19">
        <v>0</v>
      </c>
      <c r="L19">
        <v>0</v>
      </c>
      <c r="M19">
        <v>2</v>
      </c>
      <c r="N19">
        <v>18</v>
      </c>
      <c r="O19">
        <v>9.3153237074988363E-2</v>
      </c>
      <c r="P19">
        <v>1</v>
      </c>
      <c r="Q19">
        <v>23048</v>
      </c>
      <c r="R19">
        <v>23040</v>
      </c>
      <c r="S19">
        <v>23055</v>
      </c>
      <c r="T19">
        <v>23055</v>
      </c>
      <c r="U19">
        <v>23055</v>
      </c>
      <c r="AC19">
        <v>800000</v>
      </c>
      <c r="AD19">
        <v>21.902065</v>
      </c>
      <c r="AE19">
        <v>1</v>
      </c>
      <c r="AF19">
        <v>12455</v>
      </c>
      <c r="AG19">
        <v>59</v>
      </c>
      <c r="AH19">
        <v>117</v>
      </c>
      <c r="AI19">
        <v>800000</v>
      </c>
    </row>
    <row r="20" spans="1:42" x14ac:dyDescent="0.3">
      <c r="A20" t="s">
        <v>68</v>
      </c>
      <c r="B20" t="s">
        <v>43</v>
      </c>
      <c r="C20" t="s">
        <v>44</v>
      </c>
      <c r="D20" t="s">
        <v>69</v>
      </c>
      <c r="E20">
        <v>88141</v>
      </c>
      <c r="F20">
        <v>9076.3662767610986</v>
      </c>
      <c r="G20">
        <v>17</v>
      </c>
      <c r="H20">
        <v>99</v>
      </c>
      <c r="I20">
        <v>0.11232003267491859</v>
      </c>
      <c r="J20">
        <v>0</v>
      </c>
      <c r="K20">
        <v>0</v>
      </c>
      <c r="L20">
        <v>0</v>
      </c>
      <c r="M20">
        <v>17</v>
      </c>
      <c r="N20">
        <v>99</v>
      </c>
      <c r="O20">
        <v>0.11232003267491859</v>
      </c>
      <c r="P20">
        <v>1</v>
      </c>
      <c r="Q20">
        <v>22568</v>
      </c>
      <c r="R20">
        <v>22560</v>
      </c>
      <c r="S20">
        <v>22575</v>
      </c>
      <c r="T20">
        <v>22575</v>
      </c>
      <c r="U20">
        <v>22575</v>
      </c>
      <c r="V20">
        <v>800000</v>
      </c>
      <c r="W20">
        <v>108.90716999999999</v>
      </c>
      <c r="X20">
        <v>41</v>
      </c>
      <c r="Y20">
        <v>25295</v>
      </c>
      <c r="Z20">
        <v>109</v>
      </c>
      <c r="AA20">
        <v>1167</v>
      </c>
      <c r="AB20">
        <v>800000</v>
      </c>
    </row>
    <row r="21" spans="1:42" x14ac:dyDescent="0.3">
      <c r="A21" t="s">
        <v>68</v>
      </c>
      <c r="B21" t="s">
        <v>43</v>
      </c>
      <c r="C21" t="s">
        <v>46</v>
      </c>
      <c r="D21" t="s">
        <v>70</v>
      </c>
      <c r="E21">
        <v>101108</v>
      </c>
      <c r="F21">
        <v>7912.3313684377099</v>
      </c>
      <c r="G21">
        <v>15</v>
      </c>
      <c r="H21">
        <v>90</v>
      </c>
      <c r="I21">
        <v>8.9013727894924247E-2</v>
      </c>
      <c r="J21">
        <v>0</v>
      </c>
      <c r="K21">
        <v>0</v>
      </c>
      <c r="L21">
        <v>0</v>
      </c>
      <c r="M21">
        <v>15</v>
      </c>
      <c r="N21">
        <v>90</v>
      </c>
      <c r="O21">
        <v>8.9013727894924247E-2</v>
      </c>
      <c r="P21">
        <v>1</v>
      </c>
      <c r="Q21">
        <v>175680</v>
      </c>
      <c r="R21">
        <v>175616</v>
      </c>
      <c r="S21">
        <v>175743</v>
      </c>
      <c r="T21">
        <v>175743</v>
      </c>
      <c r="U21">
        <v>175743</v>
      </c>
      <c r="AC21">
        <v>399932</v>
      </c>
      <c r="AD21">
        <v>69.109603632617549</v>
      </c>
      <c r="AE21">
        <v>1</v>
      </c>
      <c r="AF21">
        <v>23071</v>
      </c>
      <c r="AG21">
        <v>162</v>
      </c>
      <c r="AH21">
        <v>372</v>
      </c>
      <c r="AI21">
        <v>399932</v>
      </c>
      <c r="AJ21">
        <v>400068</v>
      </c>
      <c r="AK21">
        <v>175.8717218072928</v>
      </c>
      <c r="AL21">
        <v>49</v>
      </c>
      <c r="AM21">
        <v>25039</v>
      </c>
      <c r="AN21">
        <v>296</v>
      </c>
      <c r="AO21">
        <v>1117</v>
      </c>
      <c r="AP21">
        <v>400068</v>
      </c>
    </row>
    <row r="22" spans="1:42" x14ac:dyDescent="0.3">
      <c r="A22" t="s">
        <v>68</v>
      </c>
      <c r="B22" t="s">
        <v>48</v>
      </c>
      <c r="C22" t="s">
        <v>44</v>
      </c>
      <c r="D22" t="s">
        <v>71</v>
      </c>
      <c r="E22">
        <v>87365</v>
      </c>
      <c r="F22">
        <v>9156.9850626681164</v>
      </c>
      <c r="G22">
        <v>17</v>
      </c>
      <c r="H22">
        <v>92</v>
      </c>
      <c r="I22">
        <v>0.10530532822068329</v>
      </c>
      <c r="J22">
        <v>0</v>
      </c>
      <c r="K22">
        <v>0</v>
      </c>
      <c r="L22">
        <v>0</v>
      </c>
      <c r="M22">
        <v>17</v>
      </c>
      <c r="N22">
        <v>92</v>
      </c>
      <c r="O22">
        <v>0.10530532822068329</v>
      </c>
      <c r="P22">
        <v>1</v>
      </c>
      <c r="Q22">
        <v>41200</v>
      </c>
      <c r="R22">
        <v>41184</v>
      </c>
      <c r="S22">
        <v>41215</v>
      </c>
      <c r="T22">
        <v>41215</v>
      </c>
      <c r="U22">
        <v>41215</v>
      </c>
      <c r="V22">
        <v>800000</v>
      </c>
      <c r="W22">
        <v>107.90301375</v>
      </c>
      <c r="X22">
        <v>35</v>
      </c>
      <c r="Y22">
        <v>24927</v>
      </c>
      <c r="Z22">
        <v>108</v>
      </c>
      <c r="AA22">
        <v>1198</v>
      </c>
      <c r="AB22">
        <v>800000</v>
      </c>
    </row>
    <row r="23" spans="1:42" x14ac:dyDescent="0.3">
      <c r="A23" t="s">
        <v>68</v>
      </c>
      <c r="B23" t="s">
        <v>48</v>
      </c>
      <c r="C23" t="s">
        <v>46</v>
      </c>
      <c r="D23" t="s">
        <v>72</v>
      </c>
      <c r="E23">
        <v>135225</v>
      </c>
      <c r="F23">
        <v>5916.0658162322052</v>
      </c>
      <c r="G23">
        <v>17</v>
      </c>
      <c r="H23">
        <v>98</v>
      </c>
      <c r="I23">
        <v>7.2471806248844514E-2</v>
      </c>
      <c r="J23">
        <v>0</v>
      </c>
      <c r="K23">
        <v>0</v>
      </c>
      <c r="L23">
        <v>0</v>
      </c>
      <c r="M23">
        <v>17</v>
      </c>
      <c r="N23">
        <v>98</v>
      </c>
      <c r="O23">
        <v>7.2471806248844514E-2</v>
      </c>
      <c r="P23">
        <v>1</v>
      </c>
      <c r="Q23">
        <v>132928</v>
      </c>
      <c r="R23">
        <v>132864</v>
      </c>
      <c r="S23">
        <v>132991</v>
      </c>
      <c r="T23">
        <v>132991</v>
      </c>
      <c r="U23">
        <v>132991</v>
      </c>
      <c r="V23">
        <v>559660</v>
      </c>
      <c r="W23">
        <v>115.3534127863346</v>
      </c>
      <c r="X23">
        <v>44</v>
      </c>
      <c r="Y23">
        <v>21615</v>
      </c>
      <c r="Z23">
        <v>125</v>
      </c>
      <c r="AA23">
        <v>1109</v>
      </c>
      <c r="AB23">
        <v>559660</v>
      </c>
      <c r="AC23">
        <v>80192</v>
      </c>
      <c r="AD23">
        <v>202.88143455706299</v>
      </c>
      <c r="AE23">
        <v>4</v>
      </c>
      <c r="AF23">
        <v>20383</v>
      </c>
      <c r="AG23">
        <v>362</v>
      </c>
      <c r="AH23">
        <v>1350</v>
      </c>
      <c r="AI23">
        <v>80192</v>
      </c>
      <c r="AJ23">
        <v>160148</v>
      </c>
      <c r="AK23">
        <v>320.48266603391858</v>
      </c>
      <c r="AL23">
        <v>55</v>
      </c>
      <c r="AM23">
        <v>17391</v>
      </c>
      <c r="AN23">
        <v>738</v>
      </c>
      <c r="AO23">
        <v>1794</v>
      </c>
      <c r="AP23">
        <v>160148</v>
      </c>
    </row>
    <row r="24" spans="1:42" x14ac:dyDescent="0.3">
      <c r="A24" t="s">
        <v>68</v>
      </c>
      <c r="B24" t="s">
        <v>51</v>
      </c>
      <c r="C24" t="s">
        <v>44</v>
      </c>
      <c r="D24" t="s">
        <v>73</v>
      </c>
      <c r="E24">
        <v>41653</v>
      </c>
      <c r="F24">
        <v>19206.299666290539</v>
      </c>
      <c r="G24">
        <v>5</v>
      </c>
      <c r="H24">
        <v>33</v>
      </c>
      <c r="I24">
        <v>7.9225986123448486E-2</v>
      </c>
      <c r="J24">
        <v>0</v>
      </c>
      <c r="K24">
        <v>0</v>
      </c>
      <c r="L24">
        <v>0</v>
      </c>
      <c r="M24">
        <v>5</v>
      </c>
      <c r="N24">
        <v>33</v>
      </c>
      <c r="O24">
        <v>7.9225986123448486E-2</v>
      </c>
      <c r="P24">
        <v>1</v>
      </c>
      <c r="Q24">
        <v>24520</v>
      </c>
      <c r="R24">
        <v>24512</v>
      </c>
      <c r="S24">
        <v>24527</v>
      </c>
      <c r="T24">
        <v>24527</v>
      </c>
      <c r="U24">
        <v>24527</v>
      </c>
      <c r="V24">
        <v>800000</v>
      </c>
      <c r="W24">
        <v>50.846951249999996</v>
      </c>
      <c r="X24">
        <v>14</v>
      </c>
      <c r="Y24">
        <v>25055</v>
      </c>
      <c r="Z24">
        <v>74</v>
      </c>
      <c r="AA24">
        <v>163</v>
      </c>
      <c r="AB24">
        <v>800000</v>
      </c>
    </row>
    <row r="25" spans="1:42" x14ac:dyDescent="0.3">
      <c r="A25" t="s">
        <v>68</v>
      </c>
      <c r="B25" t="s">
        <v>51</v>
      </c>
      <c r="C25" t="s">
        <v>46</v>
      </c>
      <c r="D25" t="s">
        <v>74</v>
      </c>
      <c r="E25">
        <v>19171</v>
      </c>
      <c r="F25">
        <v>41729.695894841163</v>
      </c>
      <c r="G25">
        <v>2</v>
      </c>
      <c r="H25">
        <v>18</v>
      </c>
      <c r="I25">
        <v>9.389181576339263E-2</v>
      </c>
      <c r="J25">
        <v>0</v>
      </c>
      <c r="K25">
        <v>0</v>
      </c>
      <c r="L25">
        <v>0</v>
      </c>
      <c r="M25">
        <v>2</v>
      </c>
      <c r="N25">
        <v>18</v>
      </c>
      <c r="O25">
        <v>9.389181576339263E-2</v>
      </c>
      <c r="P25">
        <v>1</v>
      </c>
      <c r="Q25">
        <v>29880</v>
      </c>
      <c r="R25">
        <v>29872</v>
      </c>
      <c r="S25">
        <v>29887</v>
      </c>
      <c r="T25">
        <v>29887</v>
      </c>
      <c r="U25">
        <v>29887</v>
      </c>
      <c r="AC25">
        <v>800000</v>
      </c>
      <c r="AD25">
        <v>21.6815575</v>
      </c>
      <c r="AE25">
        <v>1</v>
      </c>
      <c r="AF25">
        <v>14287</v>
      </c>
      <c r="AG25">
        <v>58</v>
      </c>
      <c r="AH25">
        <v>117</v>
      </c>
      <c r="AI25">
        <v>800000</v>
      </c>
    </row>
    <row r="27" spans="1:42" x14ac:dyDescent="0.3">
      <c r="A27" t="s">
        <v>75</v>
      </c>
      <c r="B27" t="s">
        <v>80</v>
      </c>
      <c r="C27" t="s">
        <v>83</v>
      </c>
      <c r="D27" t="s">
        <v>81</v>
      </c>
      <c r="E27" t="s">
        <v>80</v>
      </c>
      <c r="F27" t="s">
        <v>83</v>
      </c>
      <c r="G27" t="s">
        <v>82</v>
      </c>
      <c r="H27" t="s">
        <v>80</v>
      </c>
      <c r="I27" t="s">
        <v>83</v>
      </c>
    </row>
    <row r="28" spans="1:42" x14ac:dyDescent="0.3">
      <c r="A28" t="s">
        <v>76</v>
      </c>
      <c r="B28">
        <v>7874.4807764238049</v>
      </c>
      <c r="C28">
        <f>(B31-B28)/B31*100</f>
        <v>18.158552670433288</v>
      </c>
      <c r="D28" t="s">
        <v>76</v>
      </c>
      <c r="E28">
        <v>41401.438699994833</v>
      </c>
      <c r="F28">
        <f>(E31-E28)/E31*100</f>
        <v>9.3101485276613172</v>
      </c>
      <c r="G28" t="s">
        <v>76</v>
      </c>
      <c r="H28">
        <v>5921.2328006690996</v>
      </c>
      <c r="I28">
        <f>(H31-H28)/H31*100</f>
        <v>39.111222956619571</v>
      </c>
    </row>
    <row r="29" spans="1:42" x14ac:dyDescent="0.3">
      <c r="A29" t="s">
        <v>77</v>
      </c>
      <c r="B29">
        <v>7912.3313684377099</v>
      </c>
      <c r="C29">
        <f>(B31-B29)/B31*100</f>
        <v>17.765162004984766</v>
      </c>
      <c r="D29" t="s">
        <v>77</v>
      </c>
      <c r="E29">
        <v>41729.695894841163</v>
      </c>
      <c r="F29">
        <f>(E31-E29)/E31*100</f>
        <v>8.5911011423504302</v>
      </c>
      <c r="G29" t="s">
        <v>77</v>
      </c>
      <c r="H29">
        <v>5916.0658162322052</v>
      </c>
      <c r="I29">
        <f>(H31-H29)/H31*100</f>
        <v>39.164355703457211</v>
      </c>
    </row>
    <row r="30" spans="1:42" x14ac:dyDescent="0.3">
      <c r="A30" t="s">
        <v>78</v>
      </c>
      <c r="B30">
        <v>10038.522831365361</v>
      </c>
      <c r="C30">
        <f>(B31-B30)/B31*100</f>
        <v>-4.3328774170880395</v>
      </c>
      <c r="D30" t="s">
        <v>78</v>
      </c>
      <c r="E30">
        <v>42243.109092829232</v>
      </c>
      <c r="F30">
        <f>(E31-E30)/E10*100</f>
        <v>9.3894788340207445</v>
      </c>
      <c r="G30" t="s">
        <v>78</v>
      </c>
      <c r="H30">
        <v>9368.4494045179345</v>
      </c>
      <c r="I30">
        <f>(H31-H30)/H31*100</f>
        <v>3.663063717166521</v>
      </c>
    </row>
    <row r="31" spans="1:42" x14ac:dyDescent="0.3">
      <c r="A31" t="s">
        <v>79</v>
      </c>
      <c r="B31">
        <v>9621.6294229427749</v>
      </c>
      <c r="C31">
        <v>0</v>
      </c>
      <c r="D31" t="s">
        <v>79</v>
      </c>
      <c r="E31">
        <v>45651.677699155443</v>
      </c>
      <c r="F31">
        <v>0</v>
      </c>
      <c r="G31" t="s">
        <v>79</v>
      </c>
      <c r="H31">
        <v>9724.6702728985601</v>
      </c>
      <c r="I31">
        <v>0</v>
      </c>
    </row>
  </sheetData>
  <phoneticPr fontId="2" type="noConversion"/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이동영/컴퓨터공학전공</cp:lastModifiedBy>
  <dcterms:created xsi:type="dcterms:W3CDTF">2025-11-15T06:28:06Z</dcterms:created>
  <dcterms:modified xsi:type="dcterms:W3CDTF">2025-11-15T06:40:51Z</dcterms:modified>
</cp:coreProperties>
</file>